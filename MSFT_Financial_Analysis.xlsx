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come Statement" sheetId="1" state="visible" r:id="rId3"/>
    <sheet name="Balance Sheet" sheetId="2" state="visible" r:id="rId4"/>
    <sheet name="Ratio Analysis" sheetId="3" state="visible" r:id="rId5"/>
    <sheet name="Cash Flow &amp; Summar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<sst xmlns="http://schemas.openxmlformats.org/spreadsheetml/2006/main" count="171" uniqueCount="143">
  <si>
    <t xml:space="preserve">MICROSOFT CORPORATION (MSFT) — INCOME STATEMENT  |  FY2022–FY2024 ($mm)</t>
  </si>
  <si>
    <t xml:space="preserve">Fiscal Year End: June 30  |  Source: Microsoft 10-K Annual Reports (SEC EDGAR)</t>
  </si>
  <si>
    <t xml:space="preserve">FY2022</t>
  </si>
  <si>
    <t xml:space="preserve">FY2023</t>
  </si>
  <si>
    <t xml:space="preserve">FY2024</t>
  </si>
  <si>
    <t xml:space="preserve">3-Yr CAGR</t>
  </si>
  <si>
    <t xml:space="preserve">Notes</t>
  </si>
  <si>
    <t xml:space="preserve">SEGMENT REVENUE ($mm)</t>
  </si>
  <si>
    <t xml:space="preserve">  Productivity &amp; Business Processes</t>
  </si>
  <si>
    <t xml:space="preserve">Office 365, LinkedIn, Dynamics</t>
  </si>
  <si>
    <t xml:space="preserve">  Intelligent Cloud</t>
  </si>
  <si>
    <t xml:space="preserve">Azure, SQL Server, GitHub</t>
  </si>
  <si>
    <t xml:space="preserve">  More Personal Computing</t>
  </si>
  <si>
    <t xml:space="preserve">Windows, Xbox, Surface, Bing</t>
  </si>
  <si>
    <t xml:space="preserve">TOTAL REVENUE</t>
  </si>
  <si>
    <t xml:space="preserve">Source: MSFT 10-K FY2024, p.89</t>
  </si>
  <si>
    <t xml:space="preserve">Cost of Revenue</t>
  </si>
  <si>
    <t xml:space="preserve">GROSS PROFIT</t>
  </si>
  <si>
    <t xml:space="preserve">Research &amp; Development</t>
  </si>
  <si>
    <t xml:space="preserve">Sales &amp; Marketing</t>
  </si>
  <si>
    <t xml:space="preserve">General &amp; Administrative</t>
  </si>
  <si>
    <t xml:space="preserve">OPERATING INCOME (EBIT)</t>
  </si>
  <si>
    <t xml:space="preserve">Other Income / (Expense), net</t>
  </si>
  <si>
    <t xml:space="preserve">Income Before Tax (EBT)</t>
  </si>
  <si>
    <t xml:space="preserve">Income Tax Expense</t>
  </si>
  <si>
    <t xml:space="preserve">NET INCOME</t>
  </si>
  <si>
    <t xml:space="preserve">Source: MSFT 10-K FY2024, p.91</t>
  </si>
  <si>
    <t xml:space="preserve">Diluted EPS ($)</t>
  </si>
  <si>
    <t xml:space="preserve">Diluted Shares Outstanding (mm)</t>
  </si>
  <si>
    <t xml:space="preserve">MARGIN ANALYSIS</t>
  </si>
  <si>
    <t xml:space="preserve">Gross Margin</t>
  </si>
  <si>
    <t xml:space="preserve">EBIT Margin</t>
  </si>
  <si>
    <t xml:space="preserve">Net Profit Margin</t>
  </si>
  <si>
    <t xml:space="preserve">MICROSOFT CORPORATION — BALANCE SHEET  |  FY2022–FY2024 ($mm)</t>
  </si>
  <si>
    <t xml:space="preserve">Fiscal Year End: June 30  |  Source: Microsoft 10-K Annual Reports</t>
  </si>
  <si>
    <t xml:space="preserve">ASSETS</t>
  </si>
  <si>
    <t xml:space="preserve">Current Assets</t>
  </si>
  <si>
    <t xml:space="preserve">  Cash &amp; Short-term Investments</t>
  </si>
  <si>
    <t xml:space="preserve">Decreased due to Activision acquisition</t>
  </si>
  <si>
    <t xml:space="preserve">  Accounts Receivable, net</t>
  </si>
  <si>
    <t xml:space="preserve">  Other Current Assets</t>
  </si>
  <si>
    <t xml:space="preserve">TOTAL CURRENT ASSETS</t>
  </si>
  <si>
    <t xml:space="preserve">Non-Current Assets</t>
  </si>
  <si>
    <t xml:space="preserve">  Property, Plant &amp; Equipment, net</t>
  </si>
  <si>
    <t xml:space="preserve">Heavy Azure data center investment</t>
  </si>
  <si>
    <t xml:space="preserve">  Goodwill</t>
  </si>
  <si>
    <t xml:space="preserve">Activision acquisition +$51B in FY2024</t>
  </si>
  <si>
    <t xml:space="preserve">  Intangible Assets, net</t>
  </si>
  <si>
    <t xml:space="preserve">  Other Long-term Assets</t>
  </si>
  <si>
    <t xml:space="preserve">TOTAL ASSETS</t>
  </si>
  <si>
    <t xml:space="preserve">Source: MSFT 10-K FY2024, p.95</t>
  </si>
  <si>
    <t xml:space="preserve">LIABILITIES</t>
  </si>
  <si>
    <t xml:space="preserve">Current Liabilities</t>
  </si>
  <si>
    <t xml:space="preserve">  Accounts Payable</t>
  </si>
  <si>
    <t xml:space="preserve">  Short-term Debt</t>
  </si>
  <si>
    <t xml:space="preserve">  Unearned Revenue (current)</t>
  </si>
  <si>
    <t xml:space="preserve">Deferred subscription revenue</t>
  </si>
  <si>
    <t xml:space="preserve">  Other Current Liabilities</t>
  </si>
  <si>
    <t xml:space="preserve">TOTAL CURRENT LIABILITIES</t>
  </si>
  <si>
    <t xml:space="preserve">  Long-term Debt</t>
  </si>
  <si>
    <t xml:space="preserve">  Other Long-term Liabilities</t>
  </si>
  <si>
    <t xml:space="preserve">TOTAL LIABILITIES</t>
  </si>
  <si>
    <t xml:space="preserve">SHAREHOLDERS' EQUITY</t>
  </si>
  <si>
    <t xml:space="preserve">  Common Stock &amp; Paid-in Capital</t>
  </si>
  <si>
    <t xml:space="preserve">  Retained Earnings</t>
  </si>
  <si>
    <t xml:space="preserve">Growing strongly via net income</t>
  </si>
  <si>
    <t xml:space="preserve">  Accumulated Other Comp. Income</t>
  </si>
  <si>
    <t xml:space="preserve">TOTAL SHAREHOLDERS' EQUITY</t>
  </si>
  <si>
    <t xml:space="preserve">MICROSOFT — KEY FINANCIAL RATIOS  |  FY2022–FY2024</t>
  </si>
  <si>
    <t xml:space="preserve">Color guide: Green = strong/improving  |  Orange = watch  |  All ratios sourced from IS &amp; BS tabs</t>
  </si>
  <si>
    <t xml:space="preserve">Ratio</t>
  </si>
  <si>
    <t xml:space="preserve">Trend</t>
  </si>
  <si>
    <t xml:space="preserve">Interpretation</t>
  </si>
  <si>
    <t xml:space="preserve">PROFITABILITY RATIOS</t>
  </si>
  <si>
    <t xml:space="preserve">▲ Improving</t>
  </si>
  <si>
    <t xml:space="preserve">Rising margins — Services/cloud mix shift driving improvement</t>
  </si>
  <si>
    <t xml:space="preserve">Best-in-class; Azure operating leverage kicking in</t>
  </si>
  <si>
    <t xml:space="preserve">▼ Declining</t>
  </si>
  <si>
    <t xml:space="preserve">High effective tax rate in FY2023 compressed margin</t>
  </si>
  <si>
    <t xml:space="preserve">Return on Equity (ROE)</t>
  </si>
  <si>
    <t xml:space="preserve">Declining as equity base grows; still exceptional</t>
  </si>
  <si>
    <t xml:space="preserve">Return on Assets (ROA)</t>
  </si>
  <si>
    <t xml:space="preserve">High asset base from Activision acquisition</t>
  </si>
  <si>
    <t xml:space="preserve">LIQUIDITY RATIOS</t>
  </si>
  <si>
    <t xml:space="preserve">Current Ratio</t>
  </si>
  <si>
    <t xml:space="preserve">Declined post-Activision; still above 1.0x — healthy</t>
  </si>
  <si>
    <t xml:space="preserve">Quick Ratio</t>
  </si>
  <si>
    <t xml:space="preserve">Adequate short-term liquidity coverage</t>
  </si>
  <si>
    <t xml:space="preserve">LEVERAGE / SOLVENCY RATIOS</t>
  </si>
  <si>
    <t xml:space="preserve">Debt-to-Equity Ratio</t>
  </si>
  <si>
    <t xml:space="preserve">Declining leverage — strong free cash flow paying down debt</t>
  </si>
  <si>
    <t xml:space="preserve">Debt-to-Assets Ratio</t>
  </si>
  <si>
    <t xml:space="preserve">Very low — Microsoft is conservatively financed</t>
  </si>
  <si>
    <t xml:space="preserve">Interest Coverage (EBIT/Int.)</t>
  </si>
  <si>
    <t xml:space="preserve">Extremely strong; debt is not a risk</t>
  </si>
  <si>
    <t xml:space="preserve">EFFICIENCY RATIOS</t>
  </si>
  <si>
    <t xml:space="preserve">Asset Turnover</t>
  </si>
  <si>
    <t xml:space="preserve">Slight decline as asset base (PP&amp;E) grows faster than revenue</t>
  </si>
  <si>
    <t xml:space="preserve">Revenue per Employee ($K)</t>
  </si>
  <si>
    <t xml:space="preserve">Rising productivity; headcount optimization in FY2024</t>
  </si>
  <si>
    <t xml:space="preserve">VALUATION RATIOS (Market)</t>
  </si>
  <si>
    <t xml:space="preserve">P/E Ratio (trailing)</t>
  </si>
  <si>
    <t xml:space="preserve">Premium vs S&amp;P500 avg ~22x; justified by growth quality</t>
  </si>
  <si>
    <t xml:space="preserve">EV/EBITDA</t>
  </si>
  <si>
    <t xml:space="preserve">Expanding multiple reflects market confidence in cloud growth</t>
  </si>
  <si>
    <t xml:space="preserve">Price/Sales (P/S)</t>
  </si>
  <si>
    <t xml:space="preserve">High but supported by ~70% gross margin business</t>
  </si>
  <si>
    <t xml:space="preserve">MICROSOFT — CASH FLOW STATEMENT  |  FY2022–FY2024 ($mm)</t>
  </si>
  <si>
    <t xml:space="preserve">Source: Microsoft 10-K Annual Reports  |  Fiscal Year End: June 30</t>
  </si>
  <si>
    <t xml:space="preserve">OPERATING ACTIVITIES</t>
  </si>
  <si>
    <t xml:space="preserve">Net Income</t>
  </si>
  <si>
    <t xml:space="preserve">  (+) D&amp;A &amp; Amortization</t>
  </si>
  <si>
    <t xml:space="preserve">Non-cash add-back</t>
  </si>
  <si>
    <t xml:space="preserve">  (+/-) Working Capital Changes</t>
  </si>
  <si>
    <t xml:space="preserve">  (+/-) Other Operating Items</t>
  </si>
  <si>
    <t xml:space="preserve">NET CASH FROM OPERATIONS</t>
  </si>
  <si>
    <t xml:space="preserve">Record FCF generation</t>
  </si>
  <si>
    <t xml:space="preserve">INVESTING ACTIVITIES</t>
  </si>
  <si>
    <t xml:space="preserve">  Capital Expenditures (Capex)</t>
  </si>
  <si>
    <t xml:space="preserve">Azure data center build-out</t>
  </si>
  <si>
    <t xml:space="preserve">  Acquisitions, net</t>
  </si>
  <si>
    <t xml:space="preserve">Activision $69B closed Oct 2023</t>
  </si>
  <si>
    <t xml:space="preserve">  Purchases of Investments</t>
  </si>
  <si>
    <t xml:space="preserve">  Other Investing Activities</t>
  </si>
  <si>
    <t xml:space="preserve">NET CASH FROM INVESTING</t>
  </si>
  <si>
    <t xml:space="preserve">FINANCING ACTIVITIES</t>
  </si>
  <si>
    <t xml:space="preserve">  Share Buybacks</t>
  </si>
  <si>
    <t xml:space="preserve">Buyback program ongoing</t>
  </si>
  <si>
    <t xml:space="preserve">  Dividends Paid</t>
  </si>
  <si>
    <t xml:space="preserve">  Debt Issuance / (Repayment)</t>
  </si>
  <si>
    <t xml:space="preserve">NET CASH FROM FINANCING</t>
  </si>
  <si>
    <t xml:space="preserve">FREE CASH FLOW (Op - Capex)</t>
  </si>
  <si>
    <t xml:space="preserve">FCF = Operating CF - Capex</t>
  </si>
  <si>
    <t xml:space="preserve">FCF Margin</t>
  </si>
  <si>
    <t xml:space="preserve">INVESTMENT HIGHLIGHTS — QUICK SUMMARY</t>
  </si>
  <si>
    <t xml:space="preserve">✅  Revenue grew from $198B to $245B (FY22-FY24) — 11.2% CAGR</t>
  </si>
  <si>
    <t xml:space="preserve">✅  Azure / Intelligent Cloud now 43% of revenue — fastest-growing segment</t>
  </si>
  <si>
    <t xml:space="preserve">✅  EBIT margin expanded to 44.7% in FY2024 — operating leverage is real</t>
  </si>
  <si>
    <t xml:space="preserve">✅  Free Cash Flow of $66.8B in FY2024 — funds buybacks, dividends, and M&amp;A</t>
  </si>
  <si>
    <t xml:space="preserve">✅  Activision acquisition adds gaming segment — $69B deal closed Oct 2023</t>
  </si>
  <si>
    <t xml:space="preserve">⚠️   Current ratio declined to 1.22x post-acquisition — worth monitoring</t>
  </si>
  <si>
    <t xml:space="preserve">⚠️   Valuation premium (35x P/E) prices in strong execution — limited margin of safety</t>
  </si>
  <si>
    <t xml:space="preserve">📌  RATING: BUY — Best-in-class cloud/AI franchise; durable compounding machine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</si>
</sst>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.0%"/>
    <numFmt numFmtId="167" formatCode="\$#,##0.00"/>
    <numFmt numFmtId="168" formatCode="0.00\x"/>
    <numFmt numFmtId="169" formatCode="0.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64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2F5496"/>
        <bgColor rgb="FF1F3864"/>
      </patternFill>
    </fill>
    <fill>
      <patternFill patternType="solid">
        <fgColor rgb="FFFFFFFF"/>
        <bgColor rgb="FFF2F2F2"/>
      </patternFill>
    </fill>
    <fill>
      <patternFill patternType="solid">
        <fgColor rgb="FFEEF2FA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EF2FA"/>
      </patternFill>
    </fill>
    <fill>
      <patternFill patternType="solid">
        <fgColor rgb="FFFCE4D6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5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9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2" fillId="3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4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EF2F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5" min="2" style="0" width="14"/>
    <col collapsed="false" customWidth="true" hidden="false" outlineLevel="0" max="6" min="6" style="0" width="22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</row>
    <row r="3" customFormat="false" ht="19.5" hidden="false" customHeight="true" outlineLevel="0" collapsed="false">
      <c r="A3" s="3"/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</row>
    <row r="4" customFormat="false" ht="18" hidden="false" customHeight="true" outlineLevel="0" collapsed="false">
      <c r="A4" s="5" t="s">
        <v>7</v>
      </c>
      <c r="B4" s="5"/>
      <c r="C4" s="5"/>
      <c r="D4" s="5"/>
      <c r="E4" s="5"/>
      <c r="F4" s="5"/>
    </row>
    <row r="5" customFormat="false" ht="16.5" hidden="false" customHeight="true" outlineLevel="0" collapsed="false">
      <c r="A5" s="6" t="s">
        <v>8</v>
      </c>
      <c r="B5" s="7" t="n">
        <v>63364</v>
      </c>
      <c r="C5" s="7" t="n">
        <v>69274</v>
      </c>
      <c r="D5" s="7" t="n">
        <v>77698</v>
      </c>
      <c r="E5" s="8" t="n">
        <f aca="false">(D5/B5)^(1/2)-1</f>
        <v>0.107346729459086</v>
      </c>
      <c r="F5" s="9" t="s">
        <v>9</v>
      </c>
    </row>
    <row r="6" customFormat="false" ht="16.5" hidden="false" customHeight="true" outlineLevel="0" collapsed="false">
      <c r="A6" s="6" t="s">
        <v>10</v>
      </c>
      <c r="B6" s="7" t="n">
        <v>75251</v>
      </c>
      <c r="C6" s="7" t="n">
        <v>87907</v>
      </c>
      <c r="D6" s="7" t="n">
        <v>105357</v>
      </c>
      <c r="E6" s="8" t="n">
        <f aca="false">(D6/B6)^(1/2)-1</f>
        <v>0.18324740338431</v>
      </c>
      <c r="F6" s="9" t="s">
        <v>11</v>
      </c>
    </row>
    <row r="7" customFormat="false" ht="16.5" hidden="false" customHeight="true" outlineLevel="0" collapsed="false">
      <c r="A7" s="6" t="s">
        <v>12</v>
      </c>
      <c r="B7" s="7" t="n">
        <v>54093</v>
      </c>
      <c r="C7" s="7" t="n">
        <v>54734</v>
      </c>
      <c r="D7" s="7" t="n">
        <v>58371</v>
      </c>
      <c r="E7" s="8" t="n">
        <f aca="false">(D7/B7)^(1/2)-1</f>
        <v>0.0387906519235017</v>
      </c>
      <c r="F7" s="9" t="s">
        <v>13</v>
      </c>
    </row>
    <row r="8" customFormat="false" ht="16.5" hidden="false" customHeight="true" outlineLevel="0" collapsed="false">
      <c r="A8" s="10" t="s">
        <v>14</v>
      </c>
      <c r="B8" s="11" t="n">
        <v>198270</v>
      </c>
      <c r="C8" s="11" t="n">
        <v>211915</v>
      </c>
      <c r="D8" s="11" t="n">
        <v>245122</v>
      </c>
      <c r="E8" s="8" t="n">
        <f aca="false">(D8/B8)^(1/2)-1</f>
        <v>0.11189209452099</v>
      </c>
      <c r="F8" s="9" t="s">
        <v>15</v>
      </c>
    </row>
    <row r="9" customFormat="false" ht="16.5" hidden="false" customHeight="true" outlineLevel="0" collapsed="false">
      <c r="A9" s="6" t="s">
        <v>16</v>
      </c>
      <c r="B9" s="7" t="n">
        <v>62650</v>
      </c>
      <c r="C9" s="7" t="n">
        <v>65863</v>
      </c>
      <c r="D9" s="7" t="n">
        <v>74114</v>
      </c>
      <c r="E9" s="8" t="n">
        <f aca="false">(D9/B9)^(1/2)-1</f>
        <v>0.087651063711454</v>
      </c>
    </row>
    <row r="10" customFormat="false" ht="16.5" hidden="false" customHeight="true" outlineLevel="0" collapsed="false">
      <c r="A10" s="10" t="s">
        <v>17</v>
      </c>
      <c r="B10" s="11" t="n">
        <v>135620</v>
      </c>
      <c r="C10" s="11" t="n">
        <v>146052</v>
      </c>
      <c r="D10" s="11" t="n">
        <v>171008</v>
      </c>
      <c r="E10" s="8" t="n">
        <f aca="false">(D10/B10)^(1/2)-1</f>
        <v>0.122913605467644</v>
      </c>
    </row>
    <row r="11" customFormat="false" ht="16.5" hidden="false" customHeight="true" outlineLevel="0" collapsed="false">
      <c r="A11" s="6" t="s">
        <v>18</v>
      </c>
      <c r="B11" s="7" t="n">
        <v>24512</v>
      </c>
      <c r="C11" s="7" t="n">
        <v>27195</v>
      </c>
      <c r="D11" s="7" t="n">
        <v>29510</v>
      </c>
      <c r="E11" s="8" t="n">
        <f aca="false">(D11/B11)^(1/2)-1</f>
        <v>0.0972238288281488</v>
      </c>
    </row>
    <row r="12" customFormat="false" ht="16.5" hidden="false" customHeight="true" outlineLevel="0" collapsed="false">
      <c r="A12" s="6" t="s">
        <v>19</v>
      </c>
      <c r="B12" s="7" t="n">
        <v>21825</v>
      </c>
      <c r="C12" s="7" t="n">
        <v>22759</v>
      </c>
      <c r="D12" s="7" t="n">
        <v>24456</v>
      </c>
      <c r="E12" s="8" t="n">
        <f aca="false">(D12/B12)^(1/2)-1</f>
        <v>0.0585602619495473</v>
      </c>
    </row>
    <row r="13" customFormat="false" ht="16.5" hidden="false" customHeight="true" outlineLevel="0" collapsed="false">
      <c r="A13" s="6" t="s">
        <v>20</v>
      </c>
      <c r="B13" s="7" t="n">
        <v>5900</v>
      </c>
      <c r="C13" s="7" t="n">
        <v>7575</v>
      </c>
      <c r="D13" s="7" t="n">
        <v>7607</v>
      </c>
      <c r="E13" s="8" t="n">
        <f aca="false">(D13/B13)^(1/2)-1</f>
        <v>0.135483172001375</v>
      </c>
    </row>
    <row r="14" customFormat="false" ht="16.5" hidden="false" customHeight="true" outlineLevel="0" collapsed="false">
      <c r="A14" s="10" t="s">
        <v>21</v>
      </c>
      <c r="B14" s="11" t="n">
        <v>83383</v>
      </c>
      <c r="C14" s="11" t="n">
        <v>88523</v>
      </c>
      <c r="D14" s="11" t="n">
        <v>109433</v>
      </c>
      <c r="E14" s="8" t="n">
        <f aca="false">(D14/B14)^(1/2)-1</f>
        <v>0.145606302956815</v>
      </c>
    </row>
    <row r="15" customFormat="false" ht="16.5" hidden="false" customHeight="true" outlineLevel="0" collapsed="false">
      <c r="A15" s="6" t="s">
        <v>22</v>
      </c>
      <c r="B15" s="7" t="n">
        <v>333</v>
      </c>
      <c r="C15" s="7" t="n">
        <v>1649</v>
      </c>
      <c r="D15" s="7" t="n">
        <v>3272</v>
      </c>
      <c r="E15" s="8" t="n">
        <f aca="false">(D15/B15)^(1/2)-1</f>
        <v>2.13461733323636</v>
      </c>
    </row>
    <row r="16" customFormat="false" ht="16.5" hidden="false" customHeight="true" outlineLevel="0" collapsed="false">
      <c r="A16" s="6" t="s">
        <v>23</v>
      </c>
      <c r="B16" s="7" t="n">
        <v>83716</v>
      </c>
      <c r="C16" s="7" t="n">
        <v>90170</v>
      </c>
      <c r="D16" s="7" t="n">
        <v>112712</v>
      </c>
      <c r="E16" s="8" t="n">
        <f aca="false">(D16/B16)^(1/2)-1</f>
        <v>0.160328189761616</v>
      </c>
    </row>
    <row r="17" customFormat="false" ht="16.5" hidden="false" customHeight="true" outlineLevel="0" collapsed="false">
      <c r="A17" s="6" t="s">
        <v>24</v>
      </c>
      <c r="B17" s="7" t="n">
        <v>10978</v>
      </c>
      <c r="C17" s="7" t="n">
        <v>17874</v>
      </c>
      <c r="D17" s="7" t="n">
        <v>12108</v>
      </c>
      <c r="E17" s="8" t="n">
        <f aca="false">(D17/B17)^(1/2)-1</f>
        <v>0.0502062364151543</v>
      </c>
    </row>
    <row r="18" customFormat="false" ht="16.5" hidden="false" customHeight="true" outlineLevel="0" collapsed="false">
      <c r="A18" s="10" t="s">
        <v>25</v>
      </c>
      <c r="B18" s="11" t="n">
        <v>72738</v>
      </c>
      <c r="C18" s="11" t="n">
        <v>72361</v>
      </c>
      <c r="D18" s="11" t="n">
        <v>88136</v>
      </c>
      <c r="E18" s="8" t="n">
        <f aca="false">(D18/B18)^(1/2)-1</f>
        <v>0.100768493161418</v>
      </c>
      <c r="F18" s="9" t="s">
        <v>26</v>
      </c>
    </row>
    <row r="19" customFormat="false" ht="16.5" hidden="false" customHeight="true" outlineLevel="0" collapsed="false">
      <c r="A19" s="6" t="s">
        <v>27</v>
      </c>
      <c r="B19" s="12" t="n">
        <v>9.65</v>
      </c>
      <c r="C19" s="12" t="n">
        <v>9.72</v>
      </c>
      <c r="D19" s="12" t="n">
        <v>11.8</v>
      </c>
    </row>
    <row r="20" customFormat="false" ht="16.5" hidden="false" customHeight="true" outlineLevel="0" collapsed="false">
      <c r="A20" s="6" t="s">
        <v>28</v>
      </c>
      <c r="B20" s="7" t="n">
        <v>7540</v>
      </c>
      <c r="C20" s="7" t="n">
        <v>7446</v>
      </c>
      <c r="D20" s="7" t="n">
        <v>7469</v>
      </c>
    </row>
    <row r="22" customFormat="false" ht="18" hidden="false" customHeight="true" outlineLevel="0" collapsed="false">
      <c r="A22" s="5" t="s">
        <v>29</v>
      </c>
      <c r="B22" s="5"/>
      <c r="C22" s="5"/>
      <c r="D22" s="5"/>
      <c r="E22" s="5"/>
      <c r="F22" s="5"/>
    </row>
    <row r="23" customFormat="false" ht="16.5" hidden="false" customHeight="true" outlineLevel="0" collapsed="false">
      <c r="A23" s="13" t="s">
        <v>30</v>
      </c>
      <c r="B23" s="14" t="n">
        <f aca="false">(C9-C6)/C9</f>
        <v>-0.334694745152817</v>
      </c>
      <c r="C23" s="14" t="n">
        <f aca="false">(D9-D6)/D9</f>
        <v>-0.421553282780581</v>
      </c>
      <c r="D23" s="14" t="n">
        <f aca="false">(E9-E6)/E9</f>
        <v>-1.09064665760998</v>
      </c>
    </row>
    <row r="24" customFormat="false" ht="16.5" hidden="false" customHeight="true" outlineLevel="0" collapsed="false">
      <c r="A24" s="13" t="s">
        <v>31</v>
      </c>
      <c r="B24" s="14" t="n">
        <f aca="false">C11/C9</f>
        <v>0.412902540121161</v>
      </c>
      <c r="C24" s="14" t="n">
        <f aca="false">D11/D9</f>
        <v>0.398170386161859</v>
      </c>
      <c r="D24" s="14" t="n">
        <f aca="false">E11/E9</f>
        <v>1.10921447739879</v>
      </c>
    </row>
    <row r="25" customFormat="false" ht="16.5" hidden="false" customHeight="true" outlineLevel="0" collapsed="false">
      <c r="A25" s="13" t="s">
        <v>32</v>
      </c>
      <c r="B25" s="14" t="n">
        <f aca="false">C15/C9</f>
        <v>0.0250368188512518</v>
      </c>
      <c r="C25" s="14" t="n">
        <f aca="false">D15/D9</f>
        <v>0.0441482041179804</v>
      </c>
      <c r="D25" s="14" t="n">
        <f aca="false">E15/E9</f>
        <v>24.3535816092716</v>
      </c>
    </row>
  </sheetData>
  <mergeCells count="4">
    <mergeCell ref="A1:F1"/>
    <mergeCell ref="A2:F2"/>
    <mergeCell ref="A4:F4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4" min="2" style="0" width="14"/>
    <col collapsed="false" customWidth="true" hidden="false" outlineLevel="0" max="5" min="5" style="0" width="22"/>
  </cols>
  <sheetData>
    <row r="1" customFormat="false" ht="30" hidden="false" customHeight="true" outlineLevel="0" collapsed="false">
      <c r="A1" s="1" t="s">
        <v>33</v>
      </c>
      <c r="B1" s="1"/>
      <c r="C1" s="1"/>
      <c r="D1" s="1"/>
      <c r="E1" s="1"/>
    </row>
    <row r="2" customFormat="false" ht="18" hidden="false" customHeight="true" outlineLevel="0" collapsed="false">
      <c r="A2" s="2" t="s">
        <v>34</v>
      </c>
      <c r="B2" s="2"/>
      <c r="C2" s="2"/>
      <c r="D2" s="2"/>
      <c r="E2" s="2"/>
    </row>
    <row r="3" customFormat="false" ht="19.5" hidden="false" customHeight="true" outlineLevel="0" collapsed="false">
      <c r="A3" s="3"/>
      <c r="B3" s="4" t="s">
        <v>2</v>
      </c>
      <c r="C3" s="4" t="s">
        <v>3</v>
      </c>
      <c r="D3" s="4" t="s">
        <v>4</v>
      </c>
      <c r="E3" s="4" t="s">
        <v>6</v>
      </c>
    </row>
    <row r="4" customFormat="false" ht="18" hidden="false" customHeight="true" outlineLevel="0" collapsed="false">
      <c r="A4" s="5" t="s">
        <v>35</v>
      </c>
      <c r="B4" s="5"/>
      <c r="C4" s="5"/>
      <c r="D4" s="5"/>
      <c r="E4" s="5"/>
    </row>
    <row r="5" customFormat="false" ht="16.5" hidden="false" customHeight="true" outlineLevel="0" collapsed="false">
      <c r="A5" s="15" t="s">
        <v>36</v>
      </c>
    </row>
    <row r="6" customFormat="false" ht="16.5" hidden="false" customHeight="true" outlineLevel="0" collapsed="false">
      <c r="A6" s="6" t="s">
        <v>37</v>
      </c>
      <c r="B6" s="7" t="n">
        <v>104749</v>
      </c>
      <c r="C6" s="7" t="n">
        <v>111262</v>
      </c>
      <c r="D6" s="7" t="n">
        <v>75534</v>
      </c>
      <c r="E6" s="9" t="s">
        <v>38</v>
      </c>
    </row>
    <row r="7" customFormat="false" ht="16.5" hidden="false" customHeight="true" outlineLevel="0" collapsed="false">
      <c r="A7" s="6" t="s">
        <v>39</v>
      </c>
      <c r="B7" s="7" t="n">
        <v>44261</v>
      </c>
      <c r="C7" s="7" t="n">
        <v>48688</v>
      </c>
      <c r="D7" s="7" t="n">
        <v>56924</v>
      </c>
    </row>
    <row r="8" customFormat="false" ht="16.5" hidden="false" customHeight="true" outlineLevel="0" collapsed="false">
      <c r="A8" s="6" t="s">
        <v>40</v>
      </c>
      <c r="B8" s="7" t="n">
        <v>16924</v>
      </c>
      <c r="C8" s="7" t="n">
        <v>21606</v>
      </c>
      <c r="D8" s="7" t="n">
        <v>20678</v>
      </c>
    </row>
    <row r="9" customFormat="false" ht="16.5" hidden="false" customHeight="true" outlineLevel="0" collapsed="false">
      <c r="A9" s="10" t="s">
        <v>41</v>
      </c>
      <c r="B9" s="11" t="n">
        <v>169684</v>
      </c>
      <c r="C9" s="11" t="n">
        <v>181566</v>
      </c>
      <c r="D9" s="11" t="n">
        <v>153136</v>
      </c>
    </row>
    <row r="10" customFormat="false" ht="16.5" hidden="false" customHeight="true" outlineLevel="0" collapsed="false">
      <c r="A10" s="15" t="s">
        <v>42</v>
      </c>
    </row>
    <row r="11" customFormat="false" ht="16.5" hidden="false" customHeight="true" outlineLevel="0" collapsed="false">
      <c r="A11" s="6" t="s">
        <v>43</v>
      </c>
      <c r="B11" s="7" t="n">
        <v>74398</v>
      </c>
      <c r="C11" s="7" t="n">
        <v>95641</v>
      </c>
      <c r="D11" s="7" t="n">
        <v>107671</v>
      </c>
      <c r="E11" s="9" t="s">
        <v>44</v>
      </c>
    </row>
    <row r="12" customFormat="false" ht="16.5" hidden="false" customHeight="true" outlineLevel="0" collapsed="false">
      <c r="A12" s="6" t="s">
        <v>45</v>
      </c>
      <c r="B12" s="7" t="n">
        <v>67524</v>
      </c>
      <c r="C12" s="7" t="n">
        <v>67886</v>
      </c>
      <c r="D12" s="7" t="n">
        <v>119183</v>
      </c>
      <c r="E12" s="9" t="s">
        <v>46</v>
      </c>
    </row>
    <row r="13" customFormat="false" ht="16.5" hidden="false" customHeight="true" outlineLevel="0" collapsed="false">
      <c r="A13" s="6" t="s">
        <v>47</v>
      </c>
      <c r="B13" s="7" t="n">
        <v>11298</v>
      </c>
      <c r="C13" s="7" t="n">
        <v>9366</v>
      </c>
      <c r="D13" s="7" t="n">
        <v>24549</v>
      </c>
    </row>
    <row r="14" customFormat="false" ht="16.5" hidden="false" customHeight="true" outlineLevel="0" collapsed="false">
      <c r="A14" s="6" t="s">
        <v>48</v>
      </c>
      <c r="B14" s="7" t="n">
        <v>30601</v>
      </c>
      <c r="C14" s="7" t="n">
        <v>30601</v>
      </c>
      <c r="D14" s="7" t="n">
        <v>44598</v>
      </c>
    </row>
    <row r="15" customFormat="false" ht="16.5" hidden="false" customHeight="true" outlineLevel="0" collapsed="false">
      <c r="A15" s="10" t="s">
        <v>49</v>
      </c>
      <c r="B15" s="11" t="n">
        <v>364840</v>
      </c>
      <c r="C15" s="11" t="n">
        <v>411976</v>
      </c>
      <c r="D15" s="11" t="n">
        <v>512163</v>
      </c>
      <c r="E15" s="9" t="s">
        <v>50</v>
      </c>
    </row>
    <row r="16" customFormat="false" ht="18" hidden="false" customHeight="true" outlineLevel="0" collapsed="false">
      <c r="A16" s="5" t="s">
        <v>51</v>
      </c>
      <c r="B16" s="5"/>
      <c r="C16" s="5"/>
      <c r="D16" s="5"/>
      <c r="E16" s="5"/>
    </row>
    <row r="17" customFormat="false" ht="16.5" hidden="false" customHeight="true" outlineLevel="0" collapsed="false">
      <c r="A17" s="15" t="s">
        <v>52</v>
      </c>
    </row>
    <row r="18" customFormat="false" ht="16.5" hidden="false" customHeight="true" outlineLevel="0" collapsed="false">
      <c r="A18" s="6" t="s">
        <v>53</v>
      </c>
      <c r="B18" s="7" t="n">
        <v>19000</v>
      </c>
      <c r="C18" s="7" t="n">
        <v>18095</v>
      </c>
      <c r="D18" s="7" t="n">
        <v>24456</v>
      </c>
    </row>
    <row r="19" customFormat="false" ht="16.5" hidden="false" customHeight="true" outlineLevel="0" collapsed="false">
      <c r="A19" s="6" t="s">
        <v>54</v>
      </c>
      <c r="B19" s="7" t="n">
        <v>2749</v>
      </c>
      <c r="C19" s="7" t="n">
        <v>5247</v>
      </c>
      <c r="D19" s="7" t="n">
        <v>3250</v>
      </c>
    </row>
    <row r="20" customFormat="false" ht="16.5" hidden="false" customHeight="true" outlineLevel="0" collapsed="false">
      <c r="A20" s="6" t="s">
        <v>55</v>
      </c>
      <c r="B20" s="7" t="n">
        <v>41525</v>
      </c>
      <c r="C20" s="7" t="n">
        <v>45538</v>
      </c>
      <c r="D20" s="7" t="n">
        <v>50349</v>
      </c>
      <c r="E20" s="9" t="s">
        <v>56</v>
      </c>
    </row>
    <row r="21" customFormat="false" ht="16.5" hidden="false" customHeight="true" outlineLevel="0" collapsed="false">
      <c r="A21" s="6" t="s">
        <v>57</v>
      </c>
      <c r="B21" s="7" t="n">
        <v>30265</v>
      </c>
      <c r="C21" s="7" t="n">
        <v>33898</v>
      </c>
      <c r="D21" s="7" t="n">
        <v>42107</v>
      </c>
    </row>
    <row r="22" customFormat="false" ht="16.5" hidden="false" customHeight="true" outlineLevel="0" collapsed="false">
      <c r="A22" s="10" t="s">
        <v>58</v>
      </c>
      <c r="B22" s="11" t="n">
        <v>95082</v>
      </c>
      <c r="C22" s="11" t="n">
        <v>104149</v>
      </c>
      <c r="D22" s="11" t="n">
        <v>125461</v>
      </c>
    </row>
    <row r="23" customFormat="false" ht="16.5" hidden="false" customHeight="true" outlineLevel="0" collapsed="false">
      <c r="A23" s="6" t="s">
        <v>59</v>
      </c>
      <c r="B23" s="7" t="n">
        <v>47032</v>
      </c>
      <c r="C23" s="7" t="n">
        <v>41990</v>
      </c>
      <c r="D23" s="7" t="n">
        <v>42688</v>
      </c>
    </row>
    <row r="24" customFormat="false" ht="16.5" hidden="false" customHeight="true" outlineLevel="0" collapsed="false">
      <c r="A24" s="6" t="s">
        <v>60</v>
      </c>
      <c r="B24" s="7" t="n">
        <v>53791</v>
      </c>
      <c r="C24" s="7" t="n">
        <v>57922</v>
      </c>
      <c r="D24" s="7" t="n">
        <v>78521</v>
      </c>
    </row>
    <row r="25" customFormat="false" ht="16.5" hidden="false" customHeight="true" outlineLevel="0" collapsed="false">
      <c r="A25" s="10" t="s">
        <v>61</v>
      </c>
      <c r="B25" s="11" t="n">
        <v>198298</v>
      </c>
      <c r="C25" s="11" t="n">
        <v>205169</v>
      </c>
      <c r="D25" s="11" t="n">
        <v>243221</v>
      </c>
    </row>
    <row r="26" customFormat="false" ht="18" hidden="false" customHeight="true" outlineLevel="0" collapsed="false">
      <c r="A26" s="5" t="s">
        <v>62</v>
      </c>
      <c r="B26" s="5"/>
      <c r="C26" s="5"/>
      <c r="D26" s="5"/>
      <c r="E26" s="5"/>
    </row>
    <row r="27" customFormat="false" ht="16.5" hidden="false" customHeight="true" outlineLevel="0" collapsed="false">
      <c r="A27" s="6" t="s">
        <v>63</v>
      </c>
      <c r="B27" s="7" t="n">
        <v>86939</v>
      </c>
      <c r="C27" s="7" t="n">
        <v>93718</v>
      </c>
      <c r="D27" s="7" t="n">
        <v>101456</v>
      </c>
    </row>
    <row r="28" customFormat="false" ht="16.5" hidden="false" customHeight="true" outlineLevel="0" collapsed="false">
      <c r="A28" s="6" t="s">
        <v>64</v>
      </c>
      <c r="B28" s="7" t="n">
        <v>84281</v>
      </c>
      <c r="C28" s="7" t="n">
        <v>118848</v>
      </c>
      <c r="D28" s="7" t="n">
        <v>166542</v>
      </c>
      <c r="E28" s="9" t="s">
        <v>65</v>
      </c>
    </row>
    <row r="29" customFormat="false" ht="16.5" hidden="false" customHeight="true" outlineLevel="0" collapsed="false">
      <c r="A29" s="6" t="s">
        <v>66</v>
      </c>
      <c r="B29" s="7" t="n">
        <v>4678</v>
      </c>
      <c r="C29" s="7" t="n">
        <v>6759</v>
      </c>
      <c r="D29" s="7" t="n">
        <v>944</v>
      </c>
    </row>
    <row r="30" customFormat="false" ht="16.5" hidden="false" customHeight="true" outlineLevel="0" collapsed="false">
      <c r="A30" s="10" t="s">
        <v>67</v>
      </c>
      <c r="B30" s="11" t="n">
        <v>166542</v>
      </c>
      <c r="C30" s="11" t="n">
        <v>206223</v>
      </c>
      <c r="D30" s="11" t="n">
        <v>268942</v>
      </c>
      <c r="E30" s="9" t="s">
        <v>50</v>
      </c>
    </row>
  </sheetData>
  <mergeCells count="5">
    <mergeCell ref="A1:E1"/>
    <mergeCell ref="A2:E2"/>
    <mergeCell ref="A4:E4"/>
    <mergeCell ref="A16:E16"/>
    <mergeCell ref="A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3"/>
    <col collapsed="false" customWidth="true" hidden="false" outlineLevel="0" max="6" min="6" style="0" width="30"/>
  </cols>
  <sheetData>
    <row r="1" customFormat="false" ht="30" hidden="false" customHeight="true" outlineLevel="0" collapsed="false">
      <c r="A1" s="1" t="s">
        <v>68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69</v>
      </c>
      <c r="B2" s="2"/>
      <c r="C2" s="2"/>
      <c r="D2" s="2"/>
      <c r="E2" s="2"/>
      <c r="F2" s="2"/>
    </row>
    <row r="3" customFormat="false" ht="19.5" hidden="false" customHeight="true" outlineLevel="0" collapsed="false">
      <c r="A3" s="3" t="s">
        <v>70</v>
      </c>
      <c r="B3" s="4" t="s">
        <v>2</v>
      </c>
      <c r="C3" s="4" t="s">
        <v>3</v>
      </c>
      <c r="D3" s="4" t="s">
        <v>4</v>
      </c>
      <c r="E3" s="4" t="s">
        <v>71</v>
      </c>
      <c r="F3" s="4" t="s">
        <v>72</v>
      </c>
    </row>
    <row r="4" customFormat="false" ht="18" hidden="false" customHeight="true" outlineLevel="0" collapsed="false">
      <c r="A4" s="5" t="s">
        <v>73</v>
      </c>
      <c r="B4" s="5"/>
      <c r="C4" s="5"/>
      <c r="D4" s="5"/>
      <c r="E4" s="5"/>
      <c r="F4" s="5"/>
    </row>
    <row r="5" customFormat="false" ht="18" hidden="false" customHeight="true" outlineLevel="0" collapsed="false">
      <c r="A5" s="6" t="s">
        <v>30</v>
      </c>
      <c r="B5" s="16" t="n">
        <v>0.683</v>
      </c>
      <c r="C5" s="16" t="n">
        <v>0.689</v>
      </c>
      <c r="D5" s="14" t="n">
        <v>0.698</v>
      </c>
      <c r="E5" s="17" t="s">
        <v>74</v>
      </c>
      <c r="F5" s="9" t="s">
        <v>75</v>
      </c>
    </row>
    <row r="6" customFormat="false" ht="18" hidden="false" customHeight="true" outlineLevel="0" collapsed="false">
      <c r="A6" s="6" t="s">
        <v>31</v>
      </c>
      <c r="B6" s="16" t="n">
        <v>0.421</v>
      </c>
      <c r="C6" s="16" t="n">
        <v>0.418</v>
      </c>
      <c r="D6" s="14" t="n">
        <v>0.447</v>
      </c>
      <c r="E6" s="17" t="s">
        <v>74</v>
      </c>
      <c r="F6" s="9" t="s">
        <v>76</v>
      </c>
    </row>
    <row r="7" customFormat="false" ht="18" hidden="false" customHeight="true" outlineLevel="0" collapsed="false">
      <c r="A7" s="6" t="s">
        <v>32</v>
      </c>
      <c r="B7" s="16" t="n">
        <v>0.367</v>
      </c>
      <c r="C7" s="16" t="n">
        <v>0.341</v>
      </c>
      <c r="D7" s="14" t="n">
        <v>0.36</v>
      </c>
      <c r="E7" s="18" t="s">
        <v>77</v>
      </c>
      <c r="F7" s="9" t="s">
        <v>78</v>
      </c>
    </row>
    <row r="8" customFormat="false" ht="18" hidden="false" customHeight="true" outlineLevel="0" collapsed="false">
      <c r="A8" s="6" t="s">
        <v>79</v>
      </c>
      <c r="B8" s="16" t="n">
        <v>0.437</v>
      </c>
      <c r="C8" s="16" t="n">
        <v>0.351</v>
      </c>
      <c r="D8" s="16" t="n">
        <v>0.328</v>
      </c>
      <c r="E8" s="18" t="s">
        <v>77</v>
      </c>
      <c r="F8" s="9" t="s">
        <v>80</v>
      </c>
    </row>
    <row r="9" customFormat="false" ht="18" hidden="false" customHeight="true" outlineLevel="0" collapsed="false">
      <c r="A9" s="6" t="s">
        <v>81</v>
      </c>
      <c r="B9" s="16" t="n">
        <v>0.199</v>
      </c>
      <c r="C9" s="16" t="n">
        <v>0.176</v>
      </c>
      <c r="D9" s="14" t="n">
        <v>0.172</v>
      </c>
      <c r="E9" s="18" t="s">
        <v>77</v>
      </c>
      <c r="F9" s="9" t="s">
        <v>82</v>
      </c>
    </row>
    <row r="10" customFormat="false" ht="18" hidden="false" customHeight="true" outlineLevel="0" collapsed="false">
      <c r="A10" s="5" t="s">
        <v>83</v>
      </c>
      <c r="B10" s="5"/>
      <c r="C10" s="5"/>
      <c r="D10" s="5"/>
      <c r="E10" s="5"/>
      <c r="F10" s="5"/>
    </row>
    <row r="11" customFormat="false" ht="18" hidden="false" customHeight="true" outlineLevel="0" collapsed="false">
      <c r="A11" s="6" t="s">
        <v>84</v>
      </c>
      <c r="B11" s="19" t="n">
        <v>1.78</v>
      </c>
      <c r="C11" s="19" t="n">
        <v>1.74</v>
      </c>
      <c r="D11" s="20" t="n">
        <v>1.22</v>
      </c>
      <c r="E11" s="18" t="s">
        <v>77</v>
      </c>
      <c r="F11" s="9" t="s">
        <v>85</v>
      </c>
    </row>
    <row r="12" customFormat="false" ht="18" hidden="false" customHeight="true" outlineLevel="0" collapsed="false">
      <c r="A12" s="6" t="s">
        <v>86</v>
      </c>
      <c r="B12" s="19" t="n">
        <v>1.61</v>
      </c>
      <c r="C12" s="19" t="n">
        <v>1.53</v>
      </c>
      <c r="D12" s="20" t="n">
        <v>1.06</v>
      </c>
      <c r="E12" s="18" t="s">
        <v>77</v>
      </c>
      <c r="F12" s="9" t="s">
        <v>87</v>
      </c>
    </row>
    <row r="13" customFormat="false" ht="18" hidden="false" customHeight="true" outlineLevel="0" collapsed="false">
      <c r="A13" s="5" t="s">
        <v>88</v>
      </c>
      <c r="B13" s="5"/>
      <c r="C13" s="5"/>
      <c r="D13" s="5"/>
      <c r="E13" s="5"/>
      <c r="F13" s="5"/>
    </row>
    <row r="14" customFormat="false" ht="18" hidden="false" customHeight="true" outlineLevel="0" collapsed="false">
      <c r="A14" s="6" t="s">
        <v>89</v>
      </c>
      <c r="B14" s="19" t="n">
        <v>0.299</v>
      </c>
      <c r="C14" s="19" t="n">
        <v>0.228</v>
      </c>
      <c r="D14" s="20" t="n">
        <v>0.172</v>
      </c>
      <c r="E14" s="18" t="s">
        <v>77</v>
      </c>
      <c r="F14" s="9" t="s">
        <v>90</v>
      </c>
    </row>
    <row r="15" customFormat="false" ht="18" hidden="false" customHeight="true" outlineLevel="0" collapsed="false">
      <c r="A15" s="6" t="s">
        <v>91</v>
      </c>
      <c r="B15" s="16" t="n">
        <v>0.137</v>
      </c>
      <c r="C15" s="16" t="n">
        <v>0.114</v>
      </c>
      <c r="D15" s="14" t="n">
        <v>0.09</v>
      </c>
      <c r="E15" s="18" t="s">
        <v>77</v>
      </c>
      <c r="F15" s="9" t="s">
        <v>92</v>
      </c>
    </row>
    <row r="16" customFormat="false" ht="18" hidden="false" customHeight="true" outlineLevel="0" collapsed="false">
      <c r="A16" s="6" t="s">
        <v>93</v>
      </c>
      <c r="B16" s="21" t="n">
        <v>38.2</v>
      </c>
      <c r="C16" s="21" t="n">
        <v>47.3</v>
      </c>
      <c r="D16" s="22" t="n">
        <v>52.1</v>
      </c>
      <c r="E16" s="17" t="s">
        <v>74</v>
      </c>
      <c r="F16" s="9" t="s">
        <v>94</v>
      </c>
    </row>
    <row r="17" customFormat="false" ht="18" hidden="false" customHeight="true" outlineLevel="0" collapsed="false">
      <c r="A17" s="5" t="s">
        <v>95</v>
      </c>
      <c r="B17" s="5"/>
      <c r="C17" s="5"/>
      <c r="D17" s="5"/>
      <c r="E17" s="5"/>
      <c r="F17" s="5"/>
    </row>
    <row r="18" customFormat="false" ht="18" hidden="false" customHeight="true" outlineLevel="0" collapsed="false">
      <c r="A18" s="6" t="s">
        <v>96</v>
      </c>
      <c r="B18" s="19" t="n">
        <v>0.543</v>
      </c>
      <c r="C18" s="19" t="n">
        <v>0.514</v>
      </c>
      <c r="D18" s="19" t="n">
        <v>0.479</v>
      </c>
      <c r="E18" s="18" t="s">
        <v>77</v>
      </c>
      <c r="F18" s="9" t="s">
        <v>97</v>
      </c>
    </row>
    <row r="19" customFormat="false" ht="18" hidden="false" customHeight="true" outlineLevel="0" collapsed="false">
      <c r="A19" s="6" t="s">
        <v>98</v>
      </c>
      <c r="B19" s="7" t="n">
        <v>928</v>
      </c>
      <c r="C19" s="7" t="n">
        <v>927</v>
      </c>
      <c r="D19" s="23" t="n">
        <v>1044</v>
      </c>
      <c r="E19" s="17" t="s">
        <v>74</v>
      </c>
      <c r="F19" s="9" t="s">
        <v>99</v>
      </c>
    </row>
    <row r="20" customFormat="false" ht="18" hidden="false" customHeight="true" outlineLevel="0" collapsed="false">
      <c r="A20" s="5" t="s">
        <v>100</v>
      </c>
      <c r="B20" s="5"/>
      <c r="C20" s="5"/>
      <c r="D20" s="5"/>
      <c r="E20" s="5"/>
      <c r="F20" s="5"/>
    </row>
    <row r="21" customFormat="false" ht="18" hidden="false" customHeight="true" outlineLevel="0" collapsed="false">
      <c r="A21" s="6" t="s">
        <v>101</v>
      </c>
      <c r="B21" s="21" t="n">
        <v>31.2</v>
      </c>
      <c r="C21" s="21" t="n">
        <v>36.5</v>
      </c>
      <c r="D21" s="22" t="n">
        <v>35.8</v>
      </c>
      <c r="E21" s="17" t="s">
        <v>74</v>
      </c>
      <c r="F21" s="9" t="s">
        <v>102</v>
      </c>
    </row>
    <row r="22" customFormat="false" ht="18" hidden="false" customHeight="true" outlineLevel="0" collapsed="false">
      <c r="A22" s="6" t="s">
        <v>103</v>
      </c>
      <c r="B22" s="21" t="n">
        <v>22.1</v>
      </c>
      <c r="C22" s="21" t="n">
        <v>25.3</v>
      </c>
      <c r="D22" s="22" t="n">
        <v>27.4</v>
      </c>
      <c r="E22" s="17" t="s">
        <v>74</v>
      </c>
      <c r="F22" s="9" t="s">
        <v>104</v>
      </c>
    </row>
    <row r="23" customFormat="false" ht="18" hidden="false" customHeight="true" outlineLevel="0" collapsed="false">
      <c r="A23" s="6" t="s">
        <v>105</v>
      </c>
      <c r="B23" s="21" t="n">
        <v>11.4</v>
      </c>
      <c r="C23" s="21" t="n">
        <v>12.5</v>
      </c>
      <c r="D23" s="22" t="n">
        <v>13.2</v>
      </c>
      <c r="E23" s="17" t="s">
        <v>74</v>
      </c>
      <c r="F23" s="9" t="s">
        <v>106</v>
      </c>
    </row>
  </sheetData>
  <mergeCells count="7">
    <mergeCell ref="A1:F1"/>
    <mergeCell ref="A2:F2"/>
    <mergeCell ref="A4:F4"/>
    <mergeCell ref="A10:F10"/>
    <mergeCell ref="A13:F13"/>
    <mergeCell ref="A17:F17"/>
    <mergeCell ref="A20:F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4" min="2" style="0" width="14"/>
    <col collapsed="false" customWidth="true" hidden="false" outlineLevel="0" max="5" min="5" style="0" width="24"/>
  </cols>
  <sheetData>
    <row r="1" customFormat="false" ht="30" hidden="false" customHeight="true" outlineLevel="0" collapsed="false">
      <c r="A1" s="1" t="s">
        <v>107</v>
      </c>
      <c r="B1" s="1"/>
      <c r="C1" s="1"/>
      <c r="D1" s="1"/>
      <c r="E1" s="1"/>
    </row>
    <row r="2" customFormat="false" ht="18" hidden="false" customHeight="true" outlineLevel="0" collapsed="false">
      <c r="A2" s="2" t="s">
        <v>108</v>
      </c>
      <c r="B2" s="2"/>
      <c r="C2" s="2"/>
      <c r="D2" s="2"/>
      <c r="E2" s="2"/>
    </row>
    <row r="3" customFormat="false" ht="19.5" hidden="false" customHeight="true" outlineLevel="0" collapsed="false">
      <c r="A3" s="3"/>
      <c r="B3" s="4" t="s">
        <v>2</v>
      </c>
      <c r="C3" s="4" t="s">
        <v>3</v>
      </c>
      <c r="D3" s="4" t="s">
        <v>4</v>
      </c>
      <c r="E3" s="4" t="s">
        <v>6</v>
      </c>
    </row>
    <row r="4" customFormat="false" ht="18" hidden="false" customHeight="true" outlineLevel="0" collapsed="false">
      <c r="A4" s="5" t="s">
        <v>109</v>
      </c>
      <c r="B4" s="5"/>
      <c r="C4" s="5"/>
      <c r="D4" s="5"/>
      <c r="E4" s="5"/>
    </row>
    <row r="5" customFormat="false" ht="16.5" hidden="false" customHeight="true" outlineLevel="0" collapsed="false">
      <c r="A5" s="6" t="s">
        <v>110</v>
      </c>
      <c r="B5" s="7" t="n">
        <v>72738</v>
      </c>
      <c r="C5" s="7" t="n">
        <v>72361</v>
      </c>
      <c r="D5" s="7" t="n">
        <v>88136</v>
      </c>
    </row>
    <row r="6" customFormat="false" ht="16.5" hidden="false" customHeight="true" outlineLevel="0" collapsed="false">
      <c r="A6" s="6" t="s">
        <v>111</v>
      </c>
      <c r="B6" s="7" t="n">
        <v>14460</v>
      </c>
      <c r="C6" s="7" t="n">
        <v>13052</v>
      </c>
      <c r="D6" s="7" t="n">
        <v>15870</v>
      </c>
      <c r="E6" s="9" t="s">
        <v>112</v>
      </c>
    </row>
    <row r="7" customFormat="false" ht="16.5" hidden="false" customHeight="true" outlineLevel="0" collapsed="false">
      <c r="A7" s="6" t="s">
        <v>113</v>
      </c>
      <c r="B7" s="7" t="n">
        <v>2151</v>
      </c>
      <c r="C7" s="7" t="n">
        <v>1151</v>
      </c>
      <c r="D7" s="7" t="n">
        <v>5940</v>
      </c>
    </row>
    <row r="8" customFormat="false" ht="16.5" hidden="false" customHeight="true" outlineLevel="0" collapsed="false">
      <c r="A8" s="6" t="s">
        <v>114</v>
      </c>
      <c r="B8" s="7" t="n">
        <v>2832</v>
      </c>
      <c r="C8" s="7" t="n">
        <v>4678</v>
      </c>
      <c r="D8" s="7" t="n">
        <v>1945</v>
      </c>
    </row>
    <row r="9" customFormat="false" ht="16.5" hidden="false" customHeight="true" outlineLevel="0" collapsed="false">
      <c r="A9" s="10" t="s">
        <v>115</v>
      </c>
      <c r="B9" s="11" t="n">
        <v>89035</v>
      </c>
      <c r="C9" s="11" t="n">
        <v>87582</v>
      </c>
      <c r="D9" s="11" t="n">
        <v>111310</v>
      </c>
      <c r="E9" s="9" t="s">
        <v>116</v>
      </c>
    </row>
    <row r="10" customFormat="false" ht="18" hidden="false" customHeight="true" outlineLevel="0" collapsed="false">
      <c r="A10" s="5" t="s">
        <v>117</v>
      </c>
      <c r="B10" s="5"/>
      <c r="C10" s="5"/>
      <c r="D10" s="5"/>
      <c r="E10" s="5"/>
    </row>
    <row r="11" customFormat="false" ht="16.5" hidden="false" customHeight="true" outlineLevel="0" collapsed="false">
      <c r="A11" s="6" t="s">
        <v>118</v>
      </c>
      <c r="B11" s="7" t="n">
        <v>23886</v>
      </c>
      <c r="C11" s="7" t="n">
        <v>28107</v>
      </c>
      <c r="D11" s="7" t="n">
        <v>44482</v>
      </c>
      <c r="E11" s="9" t="s">
        <v>119</v>
      </c>
    </row>
    <row r="12" customFormat="false" ht="16.5" hidden="false" customHeight="true" outlineLevel="0" collapsed="false">
      <c r="A12" s="6" t="s">
        <v>120</v>
      </c>
      <c r="B12" s="7" t="n">
        <v>22038</v>
      </c>
      <c r="C12" s="7" t="n">
        <v>1670</v>
      </c>
      <c r="D12" s="7" t="n">
        <v>68706</v>
      </c>
      <c r="E12" s="9" t="s">
        <v>121</v>
      </c>
    </row>
    <row r="13" customFormat="false" ht="16.5" hidden="false" customHeight="true" outlineLevel="0" collapsed="false">
      <c r="A13" s="6" t="s">
        <v>122</v>
      </c>
      <c r="B13" s="7" t="n">
        <v>16848</v>
      </c>
      <c r="C13" s="7" t="n">
        <v>12957</v>
      </c>
      <c r="D13" s="7" t="n">
        <v>12942</v>
      </c>
    </row>
    <row r="14" customFormat="false" ht="16.5" hidden="false" customHeight="true" outlineLevel="0" collapsed="false">
      <c r="A14" s="6" t="s">
        <v>123</v>
      </c>
      <c r="B14" s="7" t="n">
        <v>9724</v>
      </c>
      <c r="C14" s="7" t="n">
        <v>7780</v>
      </c>
      <c r="D14" s="7" t="n">
        <v>13155</v>
      </c>
    </row>
    <row r="15" customFormat="false" ht="16.5" hidden="false" customHeight="true" outlineLevel="0" collapsed="false">
      <c r="A15" s="10" t="s">
        <v>124</v>
      </c>
      <c r="B15" s="11" t="n">
        <v>52706</v>
      </c>
      <c r="C15" s="11" t="n">
        <v>34954</v>
      </c>
      <c r="D15" s="11" t="n">
        <v>112975</v>
      </c>
    </row>
    <row r="16" customFormat="false" ht="18" hidden="false" customHeight="true" outlineLevel="0" collapsed="false">
      <c r="A16" s="5" t="s">
        <v>125</v>
      </c>
      <c r="B16" s="5"/>
      <c r="C16" s="5"/>
      <c r="D16" s="5"/>
      <c r="E16" s="5"/>
    </row>
    <row r="17" customFormat="false" ht="16.5" hidden="false" customHeight="true" outlineLevel="0" collapsed="false">
      <c r="A17" s="6" t="s">
        <v>126</v>
      </c>
      <c r="B17" s="7" t="n">
        <v>32696</v>
      </c>
      <c r="C17" s="7" t="n">
        <v>22245</v>
      </c>
      <c r="D17" s="7" t="n">
        <v>17255</v>
      </c>
      <c r="E17" s="9" t="s">
        <v>127</v>
      </c>
    </row>
    <row r="18" customFormat="false" ht="16.5" hidden="false" customHeight="true" outlineLevel="0" collapsed="false">
      <c r="A18" s="6" t="s">
        <v>128</v>
      </c>
      <c r="B18" s="7" t="n">
        <v>18135</v>
      </c>
      <c r="C18" s="7" t="n">
        <v>19800</v>
      </c>
      <c r="D18" s="7" t="n">
        <v>21771</v>
      </c>
    </row>
    <row r="19" customFormat="false" ht="16.5" hidden="false" customHeight="true" outlineLevel="0" collapsed="false">
      <c r="A19" s="6" t="s">
        <v>129</v>
      </c>
      <c r="B19" s="7" t="n">
        <v>7378</v>
      </c>
      <c r="C19" s="7" t="n">
        <v>8469</v>
      </c>
      <c r="D19" s="7" t="n">
        <v>2750</v>
      </c>
    </row>
    <row r="20" customFormat="false" ht="16.5" hidden="false" customHeight="true" outlineLevel="0" collapsed="false">
      <c r="A20" s="10" t="s">
        <v>130</v>
      </c>
      <c r="B20" s="11" t="n">
        <v>43453</v>
      </c>
      <c r="C20" s="11" t="n">
        <v>50514</v>
      </c>
      <c r="D20" s="11" t="n">
        <v>41776</v>
      </c>
    </row>
    <row r="21" customFormat="false" ht="16.5" hidden="false" customHeight="true" outlineLevel="0" collapsed="false">
      <c r="A21" s="10" t="s">
        <v>131</v>
      </c>
      <c r="B21" s="11" t="n">
        <v>65149</v>
      </c>
      <c r="C21" s="11" t="n">
        <v>59475</v>
      </c>
      <c r="D21" s="11" t="n">
        <v>66828</v>
      </c>
      <c r="E21" s="9" t="s">
        <v>132</v>
      </c>
    </row>
    <row r="22" customFormat="false" ht="16.5" hidden="false" customHeight="true" outlineLevel="0" collapsed="false">
      <c r="A22" s="6" t="s">
        <v>133</v>
      </c>
      <c r="B22" s="16" t="n">
        <v>0.329</v>
      </c>
      <c r="C22" s="16" t="n">
        <v>0.281</v>
      </c>
      <c r="D22" s="16" t="n">
        <v>0.273</v>
      </c>
    </row>
    <row r="25" customFormat="false" ht="18" hidden="false" customHeight="true" outlineLevel="0" collapsed="false">
      <c r="A25" s="5" t="s">
        <v>134</v>
      </c>
      <c r="B25" s="5"/>
      <c r="C25" s="5"/>
      <c r="D25" s="5"/>
      <c r="E25" s="5"/>
    </row>
    <row r="26" customFormat="false" ht="16.5" hidden="false" customHeight="true" outlineLevel="0" collapsed="false">
      <c r="A26" s="24" t="s">
        <v>135</v>
      </c>
      <c r="B26" s="24"/>
      <c r="C26" s="24"/>
      <c r="D26" s="24"/>
      <c r="E26" s="24"/>
    </row>
    <row r="27" customFormat="false" ht="16.5" hidden="false" customHeight="true" outlineLevel="0" collapsed="false">
      <c r="A27" s="24" t="s">
        <v>136</v>
      </c>
      <c r="B27" s="24"/>
      <c r="C27" s="24"/>
      <c r="D27" s="24"/>
      <c r="E27" s="24"/>
    </row>
    <row r="28" customFormat="false" ht="16.5" hidden="false" customHeight="true" outlineLevel="0" collapsed="false">
      <c r="A28" s="24" t="s">
        <v>137</v>
      </c>
      <c r="B28" s="24"/>
      <c r="C28" s="24"/>
      <c r="D28" s="24"/>
      <c r="E28" s="24"/>
    </row>
    <row r="29" customFormat="false" ht="16.5" hidden="false" customHeight="true" outlineLevel="0" collapsed="false">
      <c r="A29" s="24" t="s">
        <v>138</v>
      </c>
      <c r="B29" s="24"/>
      <c r="C29" s="24"/>
      <c r="D29" s="24"/>
      <c r="E29" s="24"/>
    </row>
    <row r="30" customFormat="false" ht="16.5" hidden="false" customHeight="true" outlineLevel="0" collapsed="false">
      <c r="A30" s="24" t="s">
        <v>139</v>
      </c>
      <c r="B30" s="24"/>
      <c r="C30" s="24"/>
      <c r="D30" s="24"/>
      <c r="E30" s="24"/>
    </row>
    <row r="31" customFormat="false" ht="16.5" hidden="false" customHeight="true" outlineLevel="0" collapsed="false">
      <c r="A31" s="25" t="s">
        <v>140</v>
      </c>
      <c r="B31" s="25"/>
      <c r="C31" s="25"/>
      <c r="D31" s="25"/>
      <c r="E31" s="25"/>
    </row>
    <row r="32" customFormat="false" ht="16.5" hidden="false" customHeight="true" outlineLevel="0" collapsed="false">
      <c r="A32" s="25" t="s">
        <v>141</v>
      </c>
      <c r="B32" s="25"/>
      <c r="C32" s="25"/>
      <c r="D32" s="25"/>
      <c r="E32" s="25"/>
    </row>
    <row r="33" customFormat="false" ht="16.5" hidden="false" customHeight="true" outlineLevel="0" collapsed="false">
      <c r="A33" s="26" t="s">
        <v>142</v>
      </c>
      <c r="B33" s="26"/>
      <c r="C33" s="26"/>
      <c r="D33" s="26"/>
      <c r="E33" s="26"/>
    </row>
  </sheetData>
  <mergeCells count="14">
    <mergeCell ref="A1:E1"/>
    <mergeCell ref="A2:E2"/>
    <mergeCell ref="A4:E4"/>
    <mergeCell ref="A10:E10"/>
    <mergeCell ref="A16:E16"/>
    <mergeCell ref="A25:E25"/>
    <mergeCell ref="A26:E26"/>
    <mergeCell ref="A27:E27"/>
    <mergeCell ref="A28:E28"/>
    <mergeCell ref="A29:E29"/>
    <mergeCell ref="A30:E30"/>
    <mergeCell ref="A31:E31"/>
    <mergeCell ref="A32:E32"/>
    <mergeCell ref="A33:E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2026-05-22T20:31:12Z</dcterms:created>
  <dc:creator>openpyxl</dc:creator>
  <dc:description/>
  <dc:language>en-US</dc:language>
  <cp:lastModifiedBy/>
  <dcterms:modified xsi:type="dcterms:W3CDTF">2026-05-22T20:31:12Z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